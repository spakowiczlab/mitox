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Labs\Mace\Data - Tom (Updated)\"/>
    </mc:Choice>
  </mc:AlternateContent>
  <xr:revisionPtr revIDLastSave="0" documentId="8_{D10CA226-5230-40A4-ADF3-BB0CE2B62F91}" xr6:coauthVersionLast="47" xr6:coauthVersionMax="47" xr10:uidLastSave="{00000000-0000-0000-0000-000000000000}"/>
  <bookViews>
    <workbookView xWindow="4485" yWindow="3450" windowWidth="20610" windowHeight="13710" xr2:uid="{11B32B77-5616-416C-A377-D4C1FDC0BB77}"/>
  </bookViews>
  <sheets>
    <sheet name="% change body weights" sheetId="1" r:id="rId1"/>
    <sheet name="Organ Weigh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L11" i="2"/>
  <c r="J11" i="2"/>
  <c r="H11" i="2"/>
  <c r="F11" i="2"/>
  <c r="N10" i="2"/>
  <c r="L10" i="2"/>
  <c r="J10" i="2"/>
  <c r="H10" i="2"/>
  <c r="F10" i="2"/>
  <c r="N9" i="2"/>
  <c r="L9" i="2"/>
  <c r="J9" i="2"/>
  <c r="H9" i="2"/>
  <c r="F9" i="2"/>
  <c r="N8" i="2"/>
  <c r="L8" i="2"/>
  <c r="J8" i="2"/>
  <c r="H8" i="2"/>
  <c r="F8" i="2"/>
  <c r="N7" i="2"/>
  <c r="L7" i="2"/>
  <c r="J7" i="2"/>
  <c r="H7" i="2"/>
  <c r="F7" i="2"/>
  <c r="N6" i="2"/>
  <c r="L6" i="2"/>
  <c r="J6" i="2"/>
  <c r="H6" i="2"/>
  <c r="F6" i="2"/>
  <c r="N5" i="2"/>
  <c r="L5" i="2"/>
  <c r="J5" i="2"/>
  <c r="H5" i="2"/>
  <c r="F5" i="2"/>
  <c r="N4" i="2"/>
  <c r="L4" i="2"/>
  <c r="J4" i="2"/>
  <c r="H4" i="2"/>
  <c r="F4" i="2"/>
  <c r="N3" i="2"/>
  <c r="L3" i="2"/>
  <c r="J3" i="2"/>
  <c r="H3" i="2"/>
  <c r="F3" i="2"/>
  <c r="N2" i="2"/>
  <c r="L2" i="2"/>
  <c r="J2" i="2"/>
  <c r="H2" i="2"/>
  <c r="F2" i="2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</calcChain>
</file>

<file path=xl/sharedStrings.xml><?xml version="1.0" encoding="utf-8"?>
<sst xmlns="http://schemas.openxmlformats.org/spreadsheetml/2006/main" count="344" uniqueCount="42">
  <si>
    <t>Vehicle</t>
  </si>
  <si>
    <t>C4M1</t>
  </si>
  <si>
    <t>C4M2</t>
  </si>
  <si>
    <t>C4M3</t>
  </si>
  <si>
    <t>C4M4</t>
  </si>
  <si>
    <t>C5M3</t>
  </si>
  <si>
    <t>C5M4</t>
  </si>
  <si>
    <t>C5M1</t>
  </si>
  <si>
    <t>IgG2a</t>
  </si>
  <si>
    <t>C1M1</t>
  </si>
  <si>
    <t>C1M2</t>
  </si>
  <si>
    <t>C1M3</t>
  </si>
  <si>
    <t>C1M4</t>
  </si>
  <si>
    <t>C6M1</t>
  </si>
  <si>
    <t>C6M4</t>
  </si>
  <si>
    <t>Mouse ID</t>
  </si>
  <si>
    <t>Cage:Mouse Number</t>
  </si>
  <si>
    <t>Treatment</t>
  </si>
  <si>
    <t>Body Weight</t>
  </si>
  <si>
    <t>GI</t>
  </si>
  <si>
    <t>GI, % Body</t>
  </si>
  <si>
    <t>Heart</t>
  </si>
  <si>
    <t>Heart, % Body</t>
  </si>
  <si>
    <t>Liver</t>
  </si>
  <si>
    <t>Liver, % Body</t>
  </si>
  <si>
    <t>Lung</t>
  </si>
  <si>
    <t>Lung, % Body</t>
  </si>
  <si>
    <t>Spleen</t>
  </si>
  <si>
    <t>Spleen, % Body</t>
  </si>
  <si>
    <t>23TM001</t>
  </si>
  <si>
    <t>PD-1/CTLA-4-IgG2a</t>
  </si>
  <si>
    <t>23TM002</t>
  </si>
  <si>
    <t>23TM003</t>
  </si>
  <si>
    <t>23TM004</t>
  </si>
  <si>
    <t>23TM005</t>
  </si>
  <si>
    <t>C1M5</t>
  </si>
  <si>
    <t>23TM016</t>
  </si>
  <si>
    <t>23TM017</t>
  </si>
  <si>
    <t>23TM018</t>
  </si>
  <si>
    <t>23TM019</t>
  </si>
  <si>
    <t>23TM020</t>
  </si>
  <si>
    <t>C4M5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</si>
</sst>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1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E9DA-6858-48F8-ADD1-72E27A25C03B}">
  <dimension ref="A1:BH16"/>
  <sheetViews>
    <sheetView tabSelected="1" zoomScaleNormal="100" workbookViewId="0">
      <selection activeCell="I24" sqref="I24"/>
    </sheetView>
  </sheetViews>
  <sheetFormatPr defaultRowHeight="15" x14ac:dyDescent="0.25"/>
  <cols>
    <col min="7" max="7" width="9.42578125" bestFit="1" customWidth="1"/>
    <col min="9" max="9" width="9.42578125" bestFit="1" customWidth="1"/>
    <col min="11" max="11" width="10.28515625" customWidth="1"/>
    <col min="13" max="13" width="10.7109375" customWidth="1"/>
    <col min="15" max="15" width="9.7109375" bestFit="1" customWidth="1"/>
    <col min="17" max="17" width="10.85546875" customWidth="1"/>
    <col min="19" max="19" width="10.28515625" customWidth="1"/>
    <col min="21" max="21" width="10.5703125" customWidth="1"/>
    <col min="23" max="23" width="10.140625" customWidth="1"/>
    <col min="24" max="25" width="10.28515625" customWidth="1"/>
    <col min="33" max="33" width="11" customWidth="1"/>
    <col min="35" max="35" width="11.28515625" customWidth="1"/>
    <col min="37" max="37" width="11.28515625" customWidth="1"/>
    <col min="45" max="46" width="9.42578125" bestFit="1" customWidth="1"/>
    <col min="47" max="52" width="9.7109375" bestFit="1" customWidth="1"/>
    <col min="58" max="60" width="9.7109375" bestFit="1" customWidth="1"/>
  </cols>
  <sheetData>
    <row r="1" spans="1:60" ht="15.75" thickBot="1" x14ac:dyDescent="0.3">
      <c r="A1" s="1">
        <v>44775</v>
      </c>
      <c r="B1" s="2" t="s">
        <v>0</v>
      </c>
      <c r="C1" s="1">
        <v>44779</v>
      </c>
      <c r="D1" s="2" t="s">
        <v>0</v>
      </c>
      <c r="E1" s="1">
        <v>44782</v>
      </c>
      <c r="F1" s="2" t="s">
        <v>0</v>
      </c>
      <c r="G1" s="1">
        <v>44785</v>
      </c>
      <c r="H1" s="2" t="s">
        <v>0</v>
      </c>
      <c r="I1" s="1">
        <v>44789</v>
      </c>
      <c r="J1" s="2" t="s">
        <v>0</v>
      </c>
      <c r="K1" s="1">
        <v>44792</v>
      </c>
      <c r="L1" s="2" t="s">
        <v>0</v>
      </c>
      <c r="M1" s="1">
        <v>44796</v>
      </c>
      <c r="N1" s="2" t="s">
        <v>0</v>
      </c>
      <c r="O1" s="1">
        <v>44798</v>
      </c>
      <c r="P1" s="3" t="s">
        <v>0</v>
      </c>
      <c r="Q1" s="1">
        <v>44799</v>
      </c>
      <c r="R1" s="3" t="s">
        <v>0</v>
      </c>
      <c r="S1" s="1">
        <v>44801</v>
      </c>
      <c r="T1" s="3" t="s">
        <v>0</v>
      </c>
      <c r="U1" s="1">
        <v>44803</v>
      </c>
      <c r="V1" s="3" t="s">
        <v>0</v>
      </c>
      <c r="W1" s="1">
        <v>44805</v>
      </c>
      <c r="X1" s="3" t="s">
        <v>0</v>
      </c>
      <c r="Y1" s="1">
        <v>44806</v>
      </c>
      <c r="Z1" s="3" t="s">
        <v>0</v>
      </c>
      <c r="AA1" s="1">
        <v>44808</v>
      </c>
      <c r="AB1" s="3" t="s">
        <v>0</v>
      </c>
      <c r="AC1" s="1">
        <v>44810</v>
      </c>
      <c r="AD1" s="3" t="s">
        <v>0</v>
      </c>
      <c r="AE1" s="1">
        <v>44813</v>
      </c>
      <c r="AF1" s="3" t="s">
        <v>0</v>
      </c>
      <c r="AG1" s="1">
        <v>44815</v>
      </c>
      <c r="AH1" s="3" t="s">
        <v>0</v>
      </c>
      <c r="AI1" s="1">
        <v>44816</v>
      </c>
      <c r="AJ1" s="3" t="s">
        <v>0</v>
      </c>
      <c r="AK1" s="1">
        <v>44817</v>
      </c>
      <c r="AL1" s="3" t="s">
        <v>0</v>
      </c>
      <c r="AO1" s="2" t="s">
        <v>0</v>
      </c>
      <c r="AP1" s="4">
        <v>44775</v>
      </c>
      <c r="AQ1" s="1">
        <v>44779</v>
      </c>
      <c r="AR1" s="1">
        <v>44782</v>
      </c>
      <c r="AS1" s="1">
        <v>44785</v>
      </c>
      <c r="AT1" s="1">
        <v>44789</v>
      </c>
      <c r="AU1" s="1">
        <v>44792</v>
      </c>
      <c r="AV1" s="1">
        <v>44796</v>
      </c>
      <c r="AW1" s="1">
        <v>44798</v>
      </c>
      <c r="AX1" s="1">
        <v>44799</v>
      </c>
      <c r="AY1" s="1">
        <v>44801</v>
      </c>
      <c r="AZ1" s="1">
        <v>44803</v>
      </c>
      <c r="BA1" s="1">
        <v>44805</v>
      </c>
      <c r="BB1" s="1">
        <v>44806</v>
      </c>
      <c r="BC1" s="1">
        <v>44808</v>
      </c>
      <c r="BD1" s="1">
        <v>44810</v>
      </c>
      <c r="BE1" s="1">
        <v>44813</v>
      </c>
      <c r="BF1" s="1">
        <v>44815</v>
      </c>
      <c r="BG1" s="1">
        <v>44816</v>
      </c>
      <c r="BH1" s="1">
        <v>44827</v>
      </c>
    </row>
    <row r="2" spans="1:60" x14ac:dyDescent="0.25">
      <c r="A2" t="s">
        <v>1</v>
      </c>
      <c r="B2">
        <v>18.8</v>
      </c>
      <c r="C2" t="s">
        <v>1</v>
      </c>
      <c r="D2">
        <v>18.8</v>
      </c>
      <c r="E2" t="s">
        <v>1</v>
      </c>
      <c r="F2">
        <v>19.3</v>
      </c>
      <c r="G2" t="s">
        <v>1</v>
      </c>
      <c r="H2">
        <v>18.2</v>
      </c>
      <c r="I2" t="s">
        <v>1</v>
      </c>
      <c r="J2">
        <v>19.2</v>
      </c>
      <c r="K2" t="s">
        <v>1</v>
      </c>
      <c r="L2">
        <v>19.8</v>
      </c>
      <c r="M2" t="s">
        <v>1</v>
      </c>
      <c r="N2">
        <v>19.7</v>
      </c>
      <c r="O2" t="s">
        <v>1</v>
      </c>
      <c r="P2">
        <v>19.5</v>
      </c>
      <c r="Q2" t="s">
        <v>1</v>
      </c>
      <c r="R2">
        <v>19.7</v>
      </c>
      <c r="S2" t="s">
        <v>1</v>
      </c>
      <c r="T2">
        <v>20</v>
      </c>
      <c r="U2" t="s">
        <v>1</v>
      </c>
      <c r="V2">
        <v>20.3</v>
      </c>
      <c r="W2" t="s">
        <v>1</v>
      </c>
      <c r="X2">
        <v>20.3</v>
      </c>
      <c r="Y2" t="s">
        <v>1</v>
      </c>
      <c r="Z2">
        <v>20</v>
      </c>
      <c r="AA2" t="s">
        <v>1</v>
      </c>
      <c r="AB2">
        <v>20.5</v>
      </c>
      <c r="AC2" t="s">
        <v>1</v>
      </c>
      <c r="AD2">
        <v>20.6</v>
      </c>
      <c r="AE2" t="s">
        <v>1</v>
      </c>
      <c r="AF2">
        <v>20.5</v>
      </c>
      <c r="AG2" t="s">
        <v>1</v>
      </c>
      <c r="AH2">
        <v>21</v>
      </c>
      <c r="AI2" t="s">
        <v>1</v>
      </c>
      <c r="AJ2">
        <v>20.7</v>
      </c>
      <c r="AK2" t="s">
        <v>1</v>
      </c>
      <c r="AL2">
        <v>21</v>
      </c>
      <c r="AO2" t="s">
        <v>1</v>
      </c>
      <c r="AP2">
        <f>((B2-B2)/B2)</f>
        <v>0</v>
      </c>
      <c r="AQ2">
        <f t="shared" ref="AQ2:AQ8" si="0">((D2-B2)/B2)*100</f>
        <v>0</v>
      </c>
      <c r="AR2">
        <f>((F2-B2)/B2)*100</f>
        <v>2.6595744680851063</v>
      </c>
      <c r="AS2">
        <f>((H2-B2)/B2)*100</f>
        <v>-3.1914893617021352</v>
      </c>
      <c r="AT2">
        <f>((J2-B2)/B2)*100</f>
        <v>2.1276595744680775</v>
      </c>
      <c r="AU2">
        <f>((L2-B2)/B2)*100</f>
        <v>5.3191489361702127</v>
      </c>
      <c r="AV2">
        <f>((N2-B2)/B2)*100</f>
        <v>4.7872340425531839</v>
      </c>
      <c r="AW2">
        <f>((P2-B2)/B2)*100</f>
        <v>3.7234042553191453</v>
      </c>
      <c r="AX2">
        <f>((R2-B2)/B2)*100</f>
        <v>4.7872340425531839</v>
      </c>
      <c r="AY2">
        <f>((T2-B2)/B2)*100</f>
        <v>6.3829787234042508</v>
      </c>
      <c r="AZ2">
        <f>((V2-B2)/B2)*100</f>
        <v>7.9787234042553186</v>
      </c>
      <c r="BA2">
        <f>((X2-B2)/B2)*100</f>
        <v>7.9787234042553186</v>
      </c>
      <c r="BB2">
        <f>((Z2-B2)/B2)*100</f>
        <v>6.3829787234042508</v>
      </c>
      <c r="BC2">
        <f>((AB2-B2)/B2)*100</f>
        <v>9.0425531914893575</v>
      </c>
      <c r="BD2">
        <f>((AD2-B2)/B2)*100</f>
        <v>9.5744680851063872</v>
      </c>
      <c r="BE2">
        <f>((AF2-B2)/B2)*100</f>
        <v>9.0425531914893575</v>
      </c>
      <c r="BF2">
        <f>((AH2-B2)/B2)*100</f>
        <v>11.702127659574463</v>
      </c>
      <c r="BG2">
        <f>((AJ2-B2)/B2)*100</f>
        <v>10.106382978723397</v>
      </c>
      <c r="BH2">
        <f>((AL2-B2)/B2)*100</f>
        <v>11.702127659574463</v>
      </c>
    </row>
    <row r="3" spans="1:60" x14ac:dyDescent="0.25">
      <c r="A3" t="s">
        <v>2</v>
      </c>
      <c r="B3">
        <v>17.5</v>
      </c>
      <c r="C3" t="s">
        <v>2</v>
      </c>
      <c r="D3">
        <v>18</v>
      </c>
      <c r="E3" t="s">
        <v>2</v>
      </c>
      <c r="F3">
        <v>18.100000000000001</v>
      </c>
      <c r="G3" t="s">
        <v>2</v>
      </c>
      <c r="H3">
        <v>17.100000000000001</v>
      </c>
      <c r="I3" t="s">
        <v>2</v>
      </c>
      <c r="J3">
        <v>18.399999999999999</v>
      </c>
      <c r="K3" t="s">
        <v>2</v>
      </c>
      <c r="L3">
        <v>18.8</v>
      </c>
      <c r="M3" t="s">
        <v>2</v>
      </c>
      <c r="N3">
        <v>19.100000000000001</v>
      </c>
      <c r="O3" t="s">
        <v>2</v>
      </c>
      <c r="P3">
        <v>19</v>
      </c>
      <c r="Q3" t="s">
        <v>2</v>
      </c>
      <c r="R3">
        <v>19.5</v>
      </c>
      <c r="S3" t="s">
        <v>2</v>
      </c>
      <c r="T3">
        <v>20</v>
      </c>
      <c r="U3" t="s">
        <v>2</v>
      </c>
      <c r="V3">
        <v>20</v>
      </c>
      <c r="W3" t="s">
        <v>2</v>
      </c>
      <c r="X3">
        <v>19.7</v>
      </c>
      <c r="Y3" t="s">
        <v>2</v>
      </c>
      <c r="Z3">
        <v>19.5</v>
      </c>
      <c r="AA3" t="s">
        <v>2</v>
      </c>
      <c r="AB3">
        <v>19.8</v>
      </c>
      <c r="AC3" t="s">
        <v>2</v>
      </c>
      <c r="AD3">
        <v>19.7</v>
      </c>
      <c r="AE3" t="s">
        <v>2</v>
      </c>
      <c r="AF3">
        <v>20.100000000000001</v>
      </c>
      <c r="AG3" t="s">
        <v>2</v>
      </c>
      <c r="AH3">
        <v>19.600000000000001</v>
      </c>
      <c r="AI3" t="s">
        <v>2</v>
      </c>
      <c r="AJ3">
        <v>20.3</v>
      </c>
      <c r="AK3" t="s">
        <v>2</v>
      </c>
      <c r="AL3">
        <v>20.3</v>
      </c>
      <c r="AO3" t="s">
        <v>2</v>
      </c>
      <c r="AP3">
        <f t="shared" ref="AP3:AP6" si="1">((B3-B3)/B3)</f>
        <v>0</v>
      </c>
      <c r="AQ3">
        <f t="shared" si="0"/>
        <v>2.8571428571428572</v>
      </c>
      <c r="AR3">
        <f t="shared" ref="AR3:AR16" si="2">((F3-B3)/B3)*100</f>
        <v>3.4285714285714364</v>
      </c>
      <c r="AS3">
        <f t="shared" ref="AS3:AS16" si="3">((H3-B3)/B3)*100</f>
        <v>-2.2857142857142776</v>
      </c>
      <c r="AT3">
        <f t="shared" ref="AT3:AT16" si="4">((J3-B3)/B3)*100</f>
        <v>5.1428571428571344</v>
      </c>
      <c r="AU3">
        <f t="shared" ref="AU3:AU16" si="5">((L3-B3)/B3)*100</f>
        <v>7.4285714285714333</v>
      </c>
      <c r="AV3">
        <f t="shared" ref="AV3:AV16" si="6">((N3-B3)/B3)*100</f>
        <v>9.1428571428571512</v>
      </c>
      <c r="AW3">
        <f t="shared" ref="AW3:AW16" si="7">((P3-B3)/B3)*100</f>
        <v>8.5714285714285712</v>
      </c>
      <c r="AX3">
        <f t="shared" ref="AX3:AX16" si="8">((R3-B3)/B3)*100</f>
        <v>11.428571428571429</v>
      </c>
      <c r="AY3">
        <f t="shared" ref="AY3:AY16" si="9">((T3-B3)/B3)*100</f>
        <v>14.285714285714285</v>
      </c>
      <c r="AZ3">
        <f t="shared" ref="AZ3:AZ16" si="10">((V3-B3)/B3)*100</f>
        <v>14.285714285714285</v>
      </c>
      <c r="BA3">
        <f t="shared" ref="BA3:BA16" si="11">((X3-B3)/B3)*100</f>
        <v>12.571428571428566</v>
      </c>
      <c r="BB3">
        <f t="shared" ref="BB3:BB16" si="12">((Z3-B3)/B3)*100</f>
        <v>11.428571428571429</v>
      </c>
      <c r="BC3">
        <f t="shared" ref="BC3:BC16" si="13">((AB3-B3)/B3)*100</f>
        <v>13.142857142857148</v>
      </c>
      <c r="BD3">
        <f t="shared" ref="BD3:BD16" si="14">((AD3-B3)/B3)*100</f>
        <v>12.571428571428566</v>
      </c>
      <c r="BE3">
        <f t="shared" ref="BE3:BE16" si="15">((AF3-B3)/B3)*100</f>
        <v>14.857142857142867</v>
      </c>
      <c r="BF3">
        <f t="shared" ref="BF3:BF16" si="16">((AH3-B3)/B3)*100</f>
        <v>12.000000000000007</v>
      </c>
      <c r="BG3">
        <f t="shared" ref="BG3:BG16" si="17">((AJ3-B3)/B3)*100</f>
        <v>16.000000000000004</v>
      </c>
      <c r="BH3">
        <f t="shared" ref="BH3:BH16" si="18">((AL3-B3)/B3)*100</f>
        <v>16.000000000000004</v>
      </c>
    </row>
    <row r="4" spans="1:60" x14ac:dyDescent="0.25">
      <c r="A4" t="s">
        <v>3</v>
      </c>
      <c r="B4">
        <v>15.6</v>
      </c>
      <c r="C4" t="s">
        <v>3</v>
      </c>
      <c r="D4">
        <v>15</v>
      </c>
      <c r="E4" t="s">
        <v>3</v>
      </c>
      <c r="F4">
        <v>15.3</v>
      </c>
      <c r="G4" t="s">
        <v>3</v>
      </c>
      <c r="H4">
        <v>15.7</v>
      </c>
      <c r="I4" t="s">
        <v>3</v>
      </c>
      <c r="J4">
        <v>16.3</v>
      </c>
      <c r="K4" t="s">
        <v>3</v>
      </c>
      <c r="L4">
        <v>16.399999999999999</v>
      </c>
      <c r="M4" t="s">
        <v>3</v>
      </c>
      <c r="N4">
        <v>17.3</v>
      </c>
      <c r="O4" t="s">
        <v>3</v>
      </c>
      <c r="P4">
        <v>16.899999999999999</v>
      </c>
      <c r="Q4" t="s">
        <v>3</v>
      </c>
      <c r="R4">
        <v>16.899999999999999</v>
      </c>
      <c r="S4" t="s">
        <v>3</v>
      </c>
      <c r="T4">
        <v>16.899999999999999</v>
      </c>
      <c r="U4" t="s">
        <v>3</v>
      </c>
      <c r="V4">
        <v>16.899999999999999</v>
      </c>
      <c r="W4" t="s">
        <v>3</v>
      </c>
      <c r="X4">
        <v>17.3</v>
      </c>
      <c r="Y4" t="s">
        <v>3</v>
      </c>
      <c r="Z4">
        <v>17.100000000000001</v>
      </c>
      <c r="AA4" t="s">
        <v>3</v>
      </c>
      <c r="AB4">
        <v>17.100000000000001</v>
      </c>
      <c r="AC4" t="s">
        <v>3</v>
      </c>
      <c r="AD4">
        <v>17.7</v>
      </c>
      <c r="AE4" t="s">
        <v>3</v>
      </c>
      <c r="AF4">
        <v>17.600000000000001</v>
      </c>
      <c r="AG4" t="s">
        <v>3</v>
      </c>
      <c r="AH4">
        <v>17.7</v>
      </c>
      <c r="AI4" t="s">
        <v>3</v>
      </c>
      <c r="AJ4">
        <v>18.2</v>
      </c>
      <c r="AK4" t="s">
        <v>3</v>
      </c>
      <c r="AL4">
        <v>18.2</v>
      </c>
      <c r="AO4" t="s">
        <v>3</v>
      </c>
      <c r="AP4">
        <f t="shared" si="1"/>
        <v>0</v>
      </c>
      <c r="AQ4">
        <f t="shared" si="0"/>
        <v>-3.8461538461538445</v>
      </c>
      <c r="AR4">
        <f t="shared" si="2"/>
        <v>-1.9230769230769162</v>
      </c>
      <c r="AS4">
        <f t="shared" si="3"/>
        <v>0.64102564102563875</v>
      </c>
      <c r="AT4">
        <f t="shared" si="4"/>
        <v>4.4871794871794943</v>
      </c>
      <c r="AU4">
        <f t="shared" si="5"/>
        <v>5.1282051282051215</v>
      </c>
      <c r="AV4">
        <f t="shared" si="6"/>
        <v>10.897435897435905</v>
      </c>
      <c r="AW4">
        <f t="shared" si="7"/>
        <v>8.3333333333333268</v>
      </c>
      <c r="AX4">
        <f t="shared" si="8"/>
        <v>8.3333333333333268</v>
      </c>
      <c r="AY4">
        <f t="shared" si="9"/>
        <v>8.3333333333333268</v>
      </c>
      <c r="AZ4">
        <f t="shared" si="10"/>
        <v>8.3333333333333268</v>
      </c>
      <c r="BA4">
        <f t="shared" si="11"/>
        <v>10.897435897435905</v>
      </c>
      <c r="BB4">
        <f t="shared" si="12"/>
        <v>9.6153846153846274</v>
      </c>
      <c r="BC4">
        <f t="shared" si="13"/>
        <v>9.6153846153846274</v>
      </c>
      <c r="BD4">
        <f t="shared" si="14"/>
        <v>13.461538461538462</v>
      </c>
      <c r="BE4">
        <f t="shared" si="15"/>
        <v>12.820512820512834</v>
      </c>
      <c r="BF4">
        <f t="shared" si="16"/>
        <v>13.461538461538462</v>
      </c>
      <c r="BG4">
        <f t="shared" si="17"/>
        <v>16.666666666666664</v>
      </c>
      <c r="BH4">
        <f t="shared" si="18"/>
        <v>16.666666666666664</v>
      </c>
    </row>
    <row r="5" spans="1:60" x14ac:dyDescent="0.25">
      <c r="A5" t="s">
        <v>4</v>
      </c>
      <c r="B5">
        <v>17.600000000000001</v>
      </c>
      <c r="C5" t="s">
        <v>4</v>
      </c>
      <c r="D5">
        <v>17.8</v>
      </c>
      <c r="E5" t="s">
        <v>4</v>
      </c>
      <c r="F5">
        <v>18.2</v>
      </c>
      <c r="G5" t="s">
        <v>4</v>
      </c>
      <c r="H5">
        <v>17.899999999999999</v>
      </c>
      <c r="I5" t="s">
        <v>4</v>
      </c>
      <c r="J5">
        <v>19.899999999999999</v>
      </c>
      <c r="K5" t="s">
        <v>4</v>
      </c>
      <c r="L5">
        <v>20.3</v>
      </c>
      <c r="M5" t="s">
        <v>4</v>
      </c>
      <c r="N5">
        <v>20.6</v>
      </c>
      <c r="O5" t="s">
        <v>4</v>
      </c>
      <c r="P5">
        <v>21</v>
      </c>
      <c r="Q5" t="s">
        <v>4</v>
      </c>
      <c r="R5">
        <v>20.7</v>
      </c>
      <c r="S5" t="s">
        <v>4</v>
      </c>
      <c r="T5">
        <v>20.399999999999999</v>
      </c>
      <c r="U5" t="s">
        <v>4</v>
      </c>
      <c r="V5">
        <v>20.7</v>
      </c>
      <c r="W5" t="s">
        <v>4</v>
      </c>
      <c r="X5">
        <v>21</v>
      </c>
      <c r="Y5" t="s">
        <v>4</v>
      </c>
      <c r="Z5">
        <v>20.8</v>
      </c>
      <c r="AA5" t="s">
        <v>4</v>
      </c>
      <c r="AB5">
        <v>17.8</v>
      </c>
      <c r="AC5" t="s">
        <v>4</v>
      </c>
      <c r="AD5">
        <v>19.899999999999999</v>
      </c>
      <c r="AE5" t="s">
        <v>4</v>
      </c>
      <c r="AG5" t="s">
        <v>4</v>
      </c>
      <c r="AI5" t="s">
        <v>4</v>
      </c>
      <c r="AK5" t="s">
        <v>4</v>
      </c>
      <c r="AO5" t="s">
        <v>4</v>
      </c>
      <c r="AP5">
        <f t="shared" si="1"/>
        <v>0</v>
      </c>
      <c r="AQ5">
        <f t="shared" si="0"/>
        <v>1.1363636363636322</v>
      </c>
      <c r="AR5">
        <f t="shared" si="2"/>
        <v>3.4090909090908972</v>
      </c>
      <c r="AS5">
        <f t="shared" si="3"/>
        <v>1.7045454545454382</v>
      </c>
      <c r="AT5">
        <f t="shared" si="4"/>
        <v>13.068181818181801</v>
      </c>
      <c r="AU5">
        <f t="shared" si="5"/>
        <v>15.340909090909086</v>
      </c>
      <c r="AV5">
        <f t="shared" si="6"/>
        <v>17.045454545454543</v>
      </c>
      <c r="AW5">
        <f t="shared" si="7"/>
        <v>19.318181818181809</v>
      </c>
      <c r="AX5">
        <f t="shared" si="8"/>
        <v>17.613636363636349</v>
      </c>
      <c r="AY5">
        <f t="shared" si="9"/>
        <v>15.909090909090892</v>
      </c>
      <c r="AZ5">
        <f t="shared" si="10"/>
        <v>17.613636363636349</v>
      </c>
      <c r="BA5">
        <f t="shared" si="11"/>
        <v>19.318181818181809</v>
      </c>
      <c r="BB5">
        <f t="shared" si="12"/>
        <v>18.181818181818176</v>
      </c>
      <c r="BC5">
        <f t="shared" si="13"/>
        <v>1.1363636363636322</v>
      </c>
      <c r="BD5">
        <f t="shared" si="14"/>
        <v>13.068181818181801</v>
      </c>
    </row>
    <row r="6" spans="1:60" x14ac:dyDescent="0.25">
      <c r="A6" t="s">
        <v>5</v>
      </c>
      <c r="B6">
        <v>16.5</v>
      </c>
      <c r="C6" t="s">
        <v>5</v>
      </c>
      <c r="D6">
        <v>16.2</v>
      </c>
      <c r="E6" t="s">
        <v>5</v>
      </c>
      <c r="F6">
        <v>16.600000000000001</v>
      </c>
      <c r="G6" t="s">
        <v>5</v>
      </c>
      <c r="H6">
        <v>16.3</v>
      </c>
      <c r="I6" t="s">
        <v>5</v>
      </c>
      <c r="J6">
        <v>16.600000000000001</v>
      </c>
      <c r="K6" t="s">
        <v>5</v>
      </c>
      <c r="L6">
        <v>17.5</v>
      </c>
      <c r="M6" t="s">
        <v>5</v>
      </c>
      <c r="N6">
        <v>17.5</v>
      </c>
      <c r="O6" t="s">
        <v>5</v>
      </c>
      <c r="P6">
        <v>17.100000000000001</v>
      </c>
      <c r="Q6" t="s">
        <v>5</v>
      </c>
      <c r="R6">
        <v>16.8</v>
      </c>
      <c r="S6" t="s">
        <v>5</v>
      </c>
      <c r="T6">
        <v>17.100000000000001</v>
      </c>
      <c r="U6" t="s">
        <v>5</v>
      </c>
      <c r="V6">
        <v>17.5</v>
      </c>
      <c r="W6" t="s">
        <v>5</v>
      </c>
      <c r="X6">
        <v>17.5</v>
      </c>
      <c r="Y6" t="s">
        <v>5</v>
      </c>
      <c r="Z6">
        <v>17.5</v>
      </c>
      <c r="AA6" t="s">
        <v>5</v>
      </c>
      <c r="AB6">
        <v>17.2</v>
      </c>
      <c r="AC6" t="s">
        <v>5</v>
      </c>
      <c r="AD6">
        <v>18.2</v>
      </c>
      <c r="AE6" t="s">
        <v>5</v>
      </c>
      <c r="AF6">
        <v>17.7</v>
      </c>
      <c r="AG6" t="s">
        <v>5</v>
      </c>
      <c r="AH6">
        <v>17.3</v>
      </c>
      <c r="AI6" t="s">
        <v>5</v>
      </c>
      <c r="AJ6">
        <v>17.100000000000001</v>
      </c>
      <c r="AK6" t="s">
        <v>5</v>
      </c>
      <c r="AL6">
        <v>17.7</v>
      </c>
      <c r="AO6" t="s">
        <v>5</v>
      </c>
      <c r="AP6">
        <f t="shared" si="1"/>
        <v>0</v>
      </c>
      <c r="AQ6">
        <f t="shared" si="0"/>
        <v>-1.8181818181818226</v>
      </c>
      <c r="AR6">
        <f t="shared" si="2"/>
        <v>0.60606060606061463</v>
      </c>
      <c r="AS6">
        <f t="shared" si="3"/>
        <v>-1.2121212121212077</v>
      </c>
      <c r="AT6">
        <f t="shared" si="4"/>
        <v>0.60606060606061463</v>
      </c>
      <c r="AU6">
        <f t="shared" si="5"/>
        <v>6.0606060606060606</v>
      </c>
      <c r="AV6">
        <f t="shared" si="6"/>
        <v>6.0606060606060606</v>
      </c>
      <c r="AW6">
        <f t="shared" si="7"/>
        <v>3.6363636363636451</v>
      </c>
      <c r="AX6">
        <f t="shared" si="8"/>
        <v>1.8181818181818226</v>
      </c>
      <c r="AY6">
        <f t="shared" si="9"/>
        <v>3.6363636363636451</v>
      </c>
      <c r="AZ6">
        <f t="shared" si="10"/>
        <v>6.0606060606060606</v>
      </c>
      <c r="BA6">
        <f t="shared" si="11"/>
        <v>6.0606060606060606</v>
      </c>
      <c r="BB6">
        <f t="shared" si="12"/>
        <v>6.0606060606060606</v>
      </c>
      <c r="BC6">
        <f t="shared" si="13"/>
        <v>4.2424242424242378</v>
      </c>
      <c r="BD6">
        <f t="shared" si="14"/>
        <v>10.303030303030299</v>
      </c>
      <c r="BE6">
        <f t="shared" si="15"/>
        <v>7.272727272727268</v>
      </c>
      <c r="BF6">
        <f t="shared" si="16"/>
        <v>4.8484848484848531</v>
      </c>
      <c r="BG6">
        <f t="shared" si="17"/>
        <v>3.6363636363636451</v>
      </c>
      <c r="BH6">
        <f t="shared" si="18"/>
        <v>7.272727272727268</v>
      </c>
    </row>
    <row r="7" spans="1:60" x14ac:dyDescent="0.25">
      <c r="A7" t="s">
        <v>6</v>
      </c>
      <c r="B7">
        <v>18.8</v>
      </c>
      <c r="C7" t="s">
        <v>6</v>
      </c>
      <c r="D7">
        <v>18.899999999999999</v>
      </c>
      <c r="E7" t="s">
        <v>6</v>
      </c>
      <c r="F7">
        <v>18.7</v>
      </c>
      <c r="G7" t="s">
        <v>6</v>
      </c>
      <c r="H7">
        <v>18.3</v>
      </c>
      <c r="I7" t="s">
        <v>6</v>
      </c>
      <c r="J7">
        <v>18.600000000000001</v>
      </c>
      <c r="K7" t="s">
        <v>6</v>
      </c>
      <c r="L7">
        <v>19</v>
      </c>
      <c r="M7" t="s">
        <v>6</v>
      </c>
      <c r="N7">
        <v>19.2</v>
      </c>
      <c r="O7" t="s">
        <v>6</v>
      </c>
      <c r="P7">
        <v>19.100000000000001</v>
      </c>
      <c r="Q7" t="s">
        <v>6</v>
      </c>
      <c r="R7">
        <v>18.8</v>
      </c>
      <c r="S7" t="s">
        <v>6</v>
      </c>
      <c r="T7">
        <v>19.2</v>
      </c>
      <c r="U7" t="s">
        <v>6</v>
      </c>
      <c r="V7">
        <v>19.8</v>
      </c>
      <c r="W7" t="s">
        <v>6</v>
      </c>
      <c r="X7">
        <v>19.399999999999999</v>
      </c>
      <c r="Y7" t="s">
        <v>6</v>
      </c>
      <c r="Z7">
        <v>19.3</v>
      </c>
      <c r="AA7" t="s">
        <v>6</v>
      </c>
      <c r="AB7">
        <v>19.8</v>
      </c>
      <c r="AC7" t="s">
        <v>6</v>
      </c>
      <c r="AD7">
        <v>20.100000000000001</v>
      </c>
      <c r="AE7" t="s">
        <v>6</v>
      </c>
      <c r="AF7">
        <v>20.3</v>
      </c>
      <c r="AG7" t="s">
        <v>6</v>
      </c>
      <c r="AH7">
        <v>19.899999999999999</v>
      </c>
      <c r="AI7" t="s">
        <v>6</v>
      </c>
      <c r="AJ7">
        <v>20.3</v>
      </c>
      <c r="AK7" t="s">
        <v>6</v>
      </c>
      <c r="AL7">
        <v>20.3</v>
      </c>
      <c r="AO7" t="s">
        <v>6</v>
      </c>
      <c r="AP7">
        <f>((B7-B7)/B7)</f>
        <v>0</v>
      </c>
      <c r="AQ7">
        <f t="shared" si="0"/>
        <v>0.53191489361700994</v>
      </c>
      <c r="AR7">
        <f t="shared" si="2"/>
        <v>-0.53191489361702882</v>
      </c>
      <c r="AS7">
        <f t="shared" si="3"/>
        <v>-2.6595744680851063</v>
      </c>
      <c r="AT7">
        <f t="shared" si="4"/>
        <v>-1.0638297872340388</v>
      </c>
      <c r="AU7">
        <f t="shared" si="5"/>
        <v>1.0638297872340388</v>
      </c>
      <c r="AV7">
        <f t="shared" si="6"/>
        <v>2.1276595744680775</v>
      </c>
      <c r="AW7">
        <f t="shared" si="7"/>
        <v>1.5957446808510676</v>
      </c>
      <c r="AX7">
        <f t="shared" si="8"/>
        <v>0</v>
      </c>
      <c r="AY7">
        <f t="shared" si="9"/>
        <v>2.1276595744680775</v>
      </c>
      <c r="AZ7">
        <f t="shared" si="10"/>
        <v>5.3191489361702127</v>
      </c>
      <c r="BA7">
        <f t="shared" si="11"/>
        <v>3.1914893617021165</v>
      </c>
      <c r="BB7">
        <f t="shared" si="12"/>
        <v>2.6595744680851063</v>
      </c>
      <c r="BC7">
        <f t="shared" si="13"/>
        <v>5.3191489361702127</v>
      </c>
      <c r="BD7">
        <f t="shared" si="14"/>
        <v>6.9148936170212796</v>
      </c>
      <c r="BE7">
        <f t="shared" si="15"/>
        <v>7.9787234042553186</v>
      </c>
      <c r="BF7">
        <f t="shared" si="16"/>
        <v>5.8510638297872219</v>
      </c>
      <c r="BG7">
        <f t="shared" si="17"/>
        <v>7.9787234042553186</v>
      </c>
      <c r="BH7">
        <f t="shared" si="18"/>
        <v>7.9787234042553186</v>
      </c>
    </row>
    <row r="8" spans="1:60" x14ac:dyDescent="0.25">
      <c r="A8" t="s">
        <v>7</v>
      </c>
      <c r="B8">
        <v>19.2</v>
      </c>
      <c r="C8" t="s">
        <v>7</v>
      </c>
      <c r="D8">
        <v>18.600000000000001</v>
      </c>
      <c r="E8" t="s">
        <v>7</v>
      </c>
      <c r="F8">
        <v>18.7</v>
      </c>
      <c r="G8" t="s">
        <v>7</v>
      </c>
      <c r="H8">
        <v>18.2</v>
      </c>
      <c r="I8" t="s">
        <v>7</v>
      </c>
      <c r="J8">
        <v>18.5</v>
      </c>
      <c r="K8" t="s">
        <v>7</v>
      </c>
      <c r="L8">
        <v>18.899999999999999</v>
      </c>
      <c r="M8" t="s">
        <v>7</v>
      </c>
      <c r="N8">
        <v>19.399999999999999</v>
      </c>
      <c r="O8" t="s">
        <v>7</v>
      </c>
      <c r="P8">
        <v>19</v>
      </c>
      <c r="Q8" t="s">
        <v>7</v>
      </c>
      <c r="R8">
        <v>18.8</v>
      </c>
      <c r="S8" t="s">
        <v>7</v>
      </c>
      <c r="T8">
        <v>18.899999999999999</v>
      </c>
      <c r="U8" t="s">
        <v>7</v>
      </c>
      <c r="V8">
        <v>18.8</v>
      </c>
      <c r="W8" t="s">
        <v>7</v>
      </c>
      <c r="X8">
        <v>19.5</v>
      </c>
      <c r="Y8" t="s">
        <v>7</v>
      </c>
      <c r="Z8">
        <v>19.7</v>
      </c>
      <c r="AA8" t="s">
        <v>7</v>
      </c>
      <c r="AB8">
        <v>19.600000000000001</v>
      </c>
      <c r="AC8" t="s">
        <v>7</v>
      </c>
      <c r="AD8">
        <v>20.100000000000001</v>
      </c>
      <c r="AE8" t="s">
        <v>7</v>
      </c>
      <c r="AF8">
        <v>19.899999999999999</v>
      </c>
      <c r="AG8" t="s">
        <v>7</v>
      </c>
      <c r="AH8">
        <v>19.600000000000001</v>
      </c>
      <c r="AI8" t="s">
        <v>7</v>
      </c>
      <c r="AJ8">
        <v>19.7</v>
      </c>
      <c r="AK8" t="s">
        <v>7</v>
      </c>
      <c r="AL8">
        <v>19.7</v>
      </c>
      <c r="AO8" t="s">
        <v>7</v>
      </c>
      <c r="AP8">
        <f t="shared" ref="AP8" si="19">((B8-B8)/B8)</f>
        <v>0</v>
      </c>
      <c r="AQ8">
        <f t="shared" si="0"/>
        <v>-3.1249999999999889</v>
      </c>
      <c r="AR8">
        <f t="shared" si="2"/>
        <v>-2.604166666666667</v>
      </c>
      <c r="AS8">
        <f t="shared" si="3"/>
        <v>-5.2083333333333339</v>
      </c>
      <c r="AT8">
        <f t="shared" si="4"/>
        <v>-3.6458333333333299</v>
      </c>
      <c r="AU8">
        <f t="shared" si="5"/>
        <v>-1.5625000000000038</v>
      </c>
      <c r="AV8">
        <f t="shared" si="6"/>
        <v>1.041666666666663</v>
      </c>
      <c r="AW8">
        <f t="shared" si="7"/>
        <v>-1.041666666666663</v>
      </c>
      <c r="AX8">
        <f t="shared" si="8"/>
        <v>-2.0833333333333259</v>
      </c>
      <c r="AY8">
        <f t="shared" si="9"/>
        <v>-1.5625000000000038</v>
      </c>
      <c r="AZ8">
        <f t="shared" si="10"/>
        <v>-2.0833333333333259</v>
      </c>
      <c r="BA8">
        <f t="shared" si="11"/>
        <v>1.5625000000000038</v>
      </c>
      <c r="BB8">
        <f t="shared" si="12"/>
        <v>2.604166666666667</v>
      </c>
      <c r="BC8">
        <f t="shared" si="13"/>
        <v>2.0833333333333446</v>
      </c>
      <c r="BD8">
        <f t="shared" si="14"/>
        <v>4.6875000000000107</v>
      </c>
      <c r="BE8">
        <f t="shared" si="15"/>
        <v>3.6458333333333299</v>
      </c>
      <c r="BF8">
        <f t="shared" si="16"/>
        <v>2.0833333333333446</v>
      </c>
      <c r="BG8">
        <f t="shared" si="17"/>
        <v>2.604166666666667</v>
      </c>
      <c r="BH8">
        <f t="shared" si="18"/>
        <v>2.604166666666667</v>
      </c>
    </row>
    <row r="10" spans="1:60" ht="15.75" thickBot="1" x14ac:dyDescent="0.3">
      <c r="B10" s="2" t="s">
        <v>8</v>
      </c>
      <c r="D10" s="2" t="s">
        <v>8</v>
      </c>
      <c r="F10" s="2" t="s">
        <v>8</v>
      </c>
      <c r="H10" s="2" t="s">
        <v>8</v>
      </c>
      <c r="J10" s="2" t="s">
        <v>8</v>
      </c>
      <c r="L10" s="2" t="s">
        <v>8</v>
      </c>
      <c r="N10" s="2" t="s">
        <v>8</v>
      </c>
      <c r="P10" s="3" t="s">
        <v>8</v>
      </c>
      <c r="R10" s="3" t="s">
        <v>8</v>
      </c>
      <c r="T10" s="3" t="s">
        <v>8</v>
      </c>
      <c r="V10" s="3" t="s">
        <v>8</v>
      </c>
      <c r="X10" s="3" t="s">
        <v>8</v>
      </c>
      <c r="Z10" s="3" t="s">
        <v>8</v>
      </c>
      <c r="AB10" s="3" t="s">
        <v>8</v>
      </c>
      <c r="AD10" s="3" t="s">
        <v>8</v>
      </c>
      <c r="AF10" s="3" t="s">
        <v>8</v>
      </c>
      <c r="AH10" s="3" t="s">
        <v>8</v>
      </c>
      <c r="AJ10" s="3" t="s">
        <v>8</v>
      </c>
      <c r="AL10" s="3" t="s">
        <v>8</v>
      </c>
      <c r="AO10" s="2" t="s">
        <v>8</v>
      </c>
      <c r="AP10" s="2"/>
    </row>
    <row r="11" spans="1:60" x14ac:dyDescent="0.25">
      <c r="A11" t="s">
        <v>9</v>
      </c>
      <c r="B11">
        <v>18.600000000000001</v>
      </c>
      <c r="C11" t="s">
        <v>9</v>
      </c>
      <c r="D11">
        <v>18</v>
      </c>
      <c r="E11" t="s">
        <v>9</v>
      </c>
      <c r="F11">
        <v>18.899999999999999</v>
      </c>
      <c r="G11" t="s">
        <v>9</v>
      </c>
      <c r="H11">
        <v>19.100000000000001</v>
      </c>
      <c r="I11" t="s">
        <v>9</v>
      </c>
      <c r="J11">
        <v>19.399999999999999</v>
      </c>
      <c r="K11" t="s">
        <v>9</v>
      </c>
      <c r="L11">
        <v>19.5</v>
      </c>
      <c r="M11" t="s">
        <v>9</v>
      </c>
      <c r="N11">
        <v>19.5</v>
      </c>
      <c r="O11" t="s">
        <v>9</v>
      </c>
      <c r="P11">
        <v>18.899999999999999</v>
      </c>
      <c r="Q11" t="s">
        <v>9</v>
      </c>
      <c r="R11">
        <v>19.399999999999999</v>
      </c>
      <c r="S11" t="s">
        <v>9</v>
      </c>
      <c r="T11">
        <v>18.600000000000001</v>
      </c>
      <c r="U11" t="s">
        <v>9</v>
      </c>
      <c r="V11">
        <v>18.5</v>
      </c>
      <c r="W11" t="s">
        <v>9</v>
      </c>
      <c r="X11">
        <v>18.600000000000001</v>
      </c>
      <c r="Y11" t="s">
        <v>9</v>
      </c>
      <c r="Z11">
        <v>18.7</v>
      </c>
      <c r="AA11" t="s">
        <v>9</v>
      </c>
      <c r="AB11">
        <v>18.3</v>
      </c>
      <c r="AC11" t="s">
        <v>9</v>
      </c>
      <c r="AD11">
        <v>18.3</v>
      </c>
      <c r="AE11" t="s">
        <v>9</v>
      </c>
      <c r="AF11">
        <v>18.399999999999999</v>
      </c>
      <c r="AG11" t="s">
        <v>9</v>
      </c>
      <c r="AH11">
        <v>18.2</v>
      </c>
      <c r="AI11" t="s">
        <v>9</v>
      </c>
      <c r="AJ11">
        <v>18.100000000000001</v>
      </c>
      <c r="AK11" t="s">
        <v>9</v>
      </c>
      <c r="AL11">
        <v>18.2</v>
      </c>
      <c r="AO11" t="s">
        <v>9</v>
      </c>
      <c r="AP11">
        <f>((B11-B11)/B11)</f>
        <v>0</v>
      </c>
      <c r="AQ11">
        <f t="shared" ref="AQ11:AQ16" si="20">((D11-B11)/B11)*100</f>
        <v>-3.2258064516129106</v>
      </c>
      <c r="AR11">
        <f t="shared" si="2"/>
        <v>1.6129032258064364</v>
      </c>
      <c r="AS11">
        <f t="shared" si="3"/>
        <v>2.6881720430107525</v>
      </c>
      <c r="AT11">
        <f t="shared" si="4"/>
        <v>4.3010752688171889</v>
      </c>
      <c r="AU11">
        <f t="shared" si="5"/>
        <v>4.838709677419347</v>
      </c>
      <c r="AV11">
        <f t="shared" si="6"/>
        <v>4.838709677419347</v>
      </c>
      <c r="AW11">
        <f t="shared" si="7"/>
        <v>1.6129032258064364</v>
      </c>
      <c r="AX11">
        <f t="shared" si="8"/>
        <v>4.3010752688171889</v>
      </c>
      <c r="AY11">
        <f t="shared" si="9"/>
        <v>0</v>
      </c>
      <c r="AZ11">
        <f t="shared" si="10"/>
        <v>-0.53763440860215816</v>
      </c>
      <c r="BA11">
        <f t="shared" si="11"/>
        <v>0</v>
      </c>
      <c r="BB11">
        <f t="shared" si="12"/>
        <v>0.53763440860213907</v>
      </c>
      <c r="BC11">
        <f t="shared" si="13"/>
        <v>-1.6129032258064553</v>
      </c>
      <c r="BD11">
        <f t="shared" si="14"/>
        <v>-1.6129032258064553</v>
      </c>
      <c r="BE11">
        <f t="shared" si="15"/>
        <v>-1.0752688172043163</v>
      </c>
      <c r="BF11">
        <f t="shared" si="16"/>
        <v>-2.1505376344086136</v>
      </c>
      <c r="BG11">
        <f t="shared" si="17"/>
        <v>-2.6881720430107525</v>
      </c>
      <c r="BH11">
        <f t="shared" si="18"/>
        <v>-2.1505376344086136</v>
      </c>
    </row>
    <row r="12" spans="1:60" x14ac:dyDescent="0.25">
      <c r="A12" t="s">
        <v>10</v>
      </c>
      <c r="B12">
        <v>19</v>
      </c>
      <c r="C12" t="s">
        <v>10</v>
      </c>
      <c r="D12">
        <v>18.899999999999999</v>
      </c>
      <c r="E12" t="s">
        <v>10</v>
      </c>
      <c r="F12">
        <v>19.600000000000001</v>
      </c>
      <c r="G12" t="s">
        <v>10</v>
      </c>
      <c r="H12">
        <v>19</v>
      </c>
      <c r="I12" t="s">
        <v>10</v>
      </c>
      <c r="J12">
        <v>19</v>
      </c>
      <c r="K12" t="s">
        <v>10</v>
      </c>
      <c r="L12">
        <v>18.2</v>
      </c>
      <c r="M12" t="s">
        <v>10</v>
      </c>
      <c r="N12">
        <v>18.600000000000001</v>
      </c>
      <c r="O12" t="s">
        <v>10</v>
      </c>
      <c r="P12">
        <v>18.3</v>
      </c>
      <c r="Q12" t="s">
        <v>10</v>
      </c>
      <c r="R12">
        <v>17.7</v>
      </c>
      <c r="S12" t="s">
        <v>10</v>
      </c>
      <c r="T12">
        <v>17.7</v>
      </c>
      <c r="U12" t="s">
        <v>10</v>
      </c>
      <c r="V12">
        <v>17.8</v>
      </c>
      <c r="W12" t="s">
        <v>10</v>
      </c>
      <c r="X12">
        <v>17.600000000000001</v>
      </c>
      <c r="Y12" t="s">
        <v>10</v>
      </c>
      <c r="Z12">
        <v>17.7</v>
      </c>
      <c r="AA12" t="s">
        <v>10</v>
      </c>
      <c r="AB12">
        <v>17.899999999999999</v>
      </c>
      <c r="AC12" t="s">
        <v>10</v>
      </c>
      <c r="AD12">
        <v>18.100000000000001</v>
      </c>
      <c r="AE12" t="s">
        <v>10</v>
      </c>
      <c r="AF12">
        <v>17.899999999999999</v>
      </c>
      <c r="AG12" t="s">
        <v>10</v>
      </c>
      <c r="AH12">
        <v>18.100000000000001</v>
      </c>
      <c r="AI12" t="s">
        <v>10</v>
      </c>
      <c r="AJ12">
        <v>17.8</v>
      </c>
      <c r="AK12" t="s">
        <v>10</v>
      </c>
      <c r="AL12">
        <v>18.2</v>
      </c>
      <c r="AO12" t="s">
        <v>10</v>
      </c>
      <c r="AP12">
        <f t="shared" ref="AP12:AP16" si="21">((B12-B12)/B12)</f>
        <v>0</v>
      </c>
      <c r="AQ12">
        <f t="shared" si="20"/>
        <v>-0.52631578947369162</v>
      </c>
      <c r="AR12">
        <f t="shared" si="2"/>
        <v>3.1578947368421129</v>
      </c>
      <c r="AS12">
        <f t="shared" si="3"/>
        <v>0</v>
      </c>
      <c r="AT12">
        <f t="shared" si="4"/>
        <v>0</v>
      </c>
      <c r="AU12">
        <f t="shared" si="5"/>
        <v>-4.2105263157894779</v>
      </c>
      <c r="AV12">
        <f t="shared" si="6"/>
        <v>-2.1052631578947296</v>
      </c>
      <c r="AW12">
        <f t="shared" si="7"/>
        <v>-3.6842105263157858</v>
      </c>
      <c r="AX12">
        <f t="shared" si="8"/>
        <v>-6.8421052631578982</v>
      </c>
      <c r="AY12">
        <f t="shared" si="9"/>
        <v>-6.8421052631578982</v>
      </c>
      <c r="AZ12">
        <f t="shared" si="10"/>
        <v>-6.3157894736842062</v>
      </c>
      <c r="BA12">
        <f t="shared" si="11"/>
        <v>-7.3684210526315717</v>
      </c>
      <c r="BB12">
        <f t="shared" si="12"/>
        <v>-6.8421052631578982</v>
      </c>
      <c r="BC12">
        <f t="shared" si="13"/>
        <v>-5.7894736842105337</v>
      </c>
      <c r="BD12">
        <f t="shared" si="14"/>
        <v>-4.7368421052631504</v>
      </c>
      <c r="BE12">
        <f t="shared" si="15"/>
        <v>-5.7894736842105337</v>
      </c>
      <c r="BF12">
        <f t="shared" si="16"/>
        <v>-4.7368421052631504</v>
      </c>
      <c r="BG12">
        <f t="shared" si="17"/>
        <v>-6.3157894736842062</v>
      </c>
      <c r="BH12">
        <f t="shared" si="18"/>
        <v>-4.2105263157894779</v>
      </c>
    </row>
    <row r="13" spans="1:60" x14ac:dyDescent="0.25">
      <c r="A13" t="s">
        <v>11</v>
      </c>
      <c r="B13">
        <v>18.399999999999999</v>
      </c>
      <c r="C13" t="s">
        <v>11</v>
      </c>
      <c r="D13">
        <v>18.100000000000001</v>
      </c>
      <c r="E13" t="s">
        <v>11</v>
      </c>
      <c r="F13">
        <v>19.600000000000001</v>
      </c>
      <c r="G13" t="s">
        <v>11</v>
      </c>
      <c r="H13">
        <v>19.5</v>
      </c>
      <c r="I13" t="s">
        <v>11</v>
      </c>
      <c r="J13">
        <v>19.3</v>
      </c>
      <c r="K13" t="s">
        <v>11</v>
      </c>
      <c r="L13">
        <v>19.3</v>
      </c>
      <c r="M13" t="s">
        <v>11</v>
      </c>
      <c r="N13">
        <v>19.8</v>
      </c>
      <c r="O13" t="s">
        <v>11</v>
      </c>
      <c r="P13">
        <v>19</v>
      </c>
      <c r="Q13" t="s">
        <v>11</v>
      </c>
      <c r="R13">
        <v>18.8</v>
      </c>
      <c r="S13" t="s">
        <v>11</v>
      </c>
      <c r="T13">
        <v>18.899999999999999</v>
      </c>
      <c r="U13" t="s">
        <v>11</v>
      </c>
      <c r="V13">
        <v>18.8</v>
      </c>
      <c r="W13" t="s">
        <v>11</v>
      </c>
      <c r="X13">
        <v>18.7</v>
      </c>
      <c r="Y13" t="s">
        <v>11</v>
      </c>
      <c r="Z13">
        <v>19.399999999999999</v>
      </c>
      <c r="AA13" t="s">
        <v>11</v>
      </c>
      <c r="AB13">
        <v>19.100000000000001</v>
      </c>
      <c r="AC13" t="s">
        <v>11</v>
      </c>
      <c r="AD13">
        <v>19.3</v>
      </c>
      <c r="AE13" t="s">
        <v>11</v>
      </c>
      <c r="AF13">
        <v>19.2</v>
      </c>
      <c r="AG13" t="s">
        <v>11</v>
      </c>
      <c r="AH13">
        <v>19</v>
      </c>
      <c r="AI13" t="s">
        <v>11</v>
      </c>
      <c r="AJ13">
        <v>18.600000000000001</v>
      </c>
      <c r="AK13" t="s">
        <v>11</v>
      </c>
      <c r="AL13">
        <v>19</v>
      </c>
      <c r="AO13" t="s">
        <v>11</v>
      </c>
      <c r="AP13">
        <f t="shared" si="21"/>
        <v>0</v>
      </c>
      <c r="AQ13">
        <f t="shared" si="20"/>
        <v>-1.6304347826086802</v>
      </c>
      <c r="AR13">
        <f t="shared" si="2"/>
        <v>6.5217391304347991</v>
      </c>
      <c r="AS13">
        <f t="shared" si="3"/>
        <v>5.9782608695652257</v>
      </c>
      <c r="AT13">
        <f t="shared" si="4"/>
        <v>4.8913043478260994</v>
      </c>
      <c r="AU13">
        <f t="shared" si="5"/>
        <v>4.8913043478260994</v>
      </c>
      <c r="AV13">
        <f t="shared" si="6"/>
        <v>7.6086956521739246</v>
      </c>
      <c r="AW13">
        <f t="shared" si="7"/>
        <v>3.2608695652173996</v>
      </c>
      <c r="AX13">
        <f t="shared" si="8"/>
        <v>2.1739130434782727</v>
      </c>
      <c r="AY13">
        <f t="shared" si="9"/>
        <v>2.7173913043478262</v>
      </c>
      <c r="AZ13">
        <f t="shared" si="10"/>
        <v>2.1739130434782727</v>
      </c>
      <c r="BA13">
        <f t="shared" si="11"/>
        <v>1.6304347826086998</v>
      </c>
      <c r="BB13">
        <f t="shared" si="12"/>
        <v>5.4347826086956523</v>
      </c>
      <c r="BC13">
        <f t="shared" si="13"/>
        <v>3.8043478260869721</v>
      </c>
      <c r="BD13">
        <f t="shared" si="14"/>
        <v>4.8913043478260994</v>
      </c>
      <c r="BE13">
        <f t="shared" si="15"/>
        <v>4.3478260869565259</v>
      </c>
      <c r="BF13">
        <f t="shared" si="16"/>
        <v>3.2608695652173996</v>
      </c>
      <c r="BG13">
        <f t="shared" si="17"/>
        <v>1.0869565217391459</v>
      </c>
      <c r="BH13">
        <f t="shared" si="18"/>
        <v>3.2608695652173996</v>
      </c>
    </row>
    <row r="14" spans="1:60" x14ac:dyDescent="0.25">
      <c r="A14" t="s">
        <v>12</v>
      </c>
      <c r="B14">
        <v>18</v>
      </c>
      <c r="C14" t="s">
        <v>12</v>
      </c>
      <c r="D14">
        <v>17.2</v>
      </c>
      <c r="E14" t="s">
        <v>12</v>
      </c>
      <c r="F14">
        <v>18</v>
      </c>
      <c r="G14" t="s">
        <v>12</v>
      </c>
      <c r="H14">
        <v>18.399999999999999</v>
      </c>
      <c r="I14" t="s">
        <v>12</v>
      </c>
      <c r="J14">
        <v>18.399999999999999</v>
      </c>
      <c r="K14" t="s">
        <v>12</v>
      </c>
      <c r="L14">
        <v>18.100000000000001</v>
      </c>
      <c r="M14" t="s">
        <v>12</v>
      </c>
      <c r="N14">
        <v>17.7</v>
      </c>
      <c r="O14" t="s">
        <v>12</v>
      </c>
      <c r="P14">
        <v>17.7</v>
      </c>
      <c r="Q14" t="s">
        <v>12</v>
      </c>
      <c r="R14">
        <v>18</v>
      </c>
      <c r="S14" t="s">
        <v>12</v>
      </c>
      <c r="T14">
        <v>16.8</v>
      </c>
      <c r="U14" t="s">
        <v>12</v>
      </c>
      <c r="V14">
        <v>17.100000000000001</v>
      </c>
      <c r="W14" t="s">
        <v>12</v>
      </c>
      <c r="X14">
        <v>16.899999999999999</v>
      </c>
      <c r="Y14" t="s">
        <v>12</v>
      </c>
      <c r="Z14">
        <v>17</v>
      </c>
      <c r="AA14" t="s">
        <v>12</v>
      </c>
      <c r="AB14">
        <v>16.7</v>
      </c>
      <c r="AC14" t="s">
        <v>12</v>
      </c>
      <c r="AD14">
        <v>16.899999999999999</v>
      </c>
      <c r="AE14" t="s">
        <v>12</v>
      </c>
      <c r="AF14">
        <v>16.8</v>
      </c>
      <c r="AG14" t="s">
        <v>12</v>
      </c>
      <c r="AH14">
        <v>16.600000000000001</v>
      </c>
      <c r="AI14" t="s">
        <v>12</v>
      </c>
      <c r="AJ14">
        <v>16.600000000000001</v>
      </c>
      <c r="AK14" t="s">
        <v>12</v>
      </c>
      <c r="AL14">
        <v>16.899999999999999</v>
      </c>
      <c r="AO14" t="s">
        <v>12</v>
      </c>
      <c r="AP14">
        <f t="shared" si="21"/>
        <v>0</v>
      </c>
      <c r="AQ14">
        <f t="shared" si="20"/>
        <v>-4.4444444444444482</v>
      </c>
      <c r="AR14">
        <f t="shared" si="2"/>
        <v>0</v>
      </c>
      <c r="AS14">
        <f t="shared" si="3"/>
        <v>2.2222222222222143</v>
      </c>
      <c r="AT14">
        <f t="shared" si="4"/>
        <v>2.2222222222222143</v>
      </c>
      <c r="AU14">
        <f t="shared" si="5"/>
        <v>0.55555555555556346</v>
      </c>
      <c r="AV14">
        <f t="shared" si="6"/>
        <v>-1.6666666666666705</v>
      </c>
      <c r="AW14">
        <f t="shared" si="7"/>
        <v>-1.6666666666666705</v>
      </c>
      <c r="AX14">
        <f t="shared" si="8"/>
        <v>0</v>
      </c>
      <c r="AY14">
        <f t="shared" si="9"/>
        <v>-6.6666666666666625</v>
      </c>
      <c r="AZ14">
        <f t="shared" si="10"/>
        <v>-4.999999999999992</v>
      </c>
      <c r="BA14">
        <f t="shared" si="11"/>
        <v>-6.1111111111111196</v>
      </c>
      <c r="BB14">
        <f t="shared" si="12"/>
        <v>-5.5555555555555554</v>
      </c>
      <c r="BC14">
        <f t="shared" si="13"/>
        <v>-7.2222222222222259</v>
      </c>
      <c r="BD14">
        <f t="shared" si="14"/>
        <v>-6.1111111111111196</v>
      </c>
      <c r="BE14">
        <f t="shared" si="15"/>
        <v>-6.6666666666666625</v>
      </c>
      <c r="BF14">
        <f t="shared" si="16"/>
        <v>-7.7777777777777697</v>
      </c>
      <c r="BG14">
        <f t="shared" si="17"/>
        <v>-7.7777777777777697</v>
      </c>
      <c r="BH14">
        <f t="shared" si="18"/>
        <v>-6.1111111111111196</v>
      </c>
    </row>
    <row r="15" spans="1:60" x14ac:dyDescent="0.25">
      <c r="A15" t="s">
        <v>13</v>
      </c>
      <c r="B15">
        <v>17.8</v>
      </c>
      <c r="C15" t="s">
        <v>13</v>
      </c>
      <c r="D15">
        <v>17.899999999999999</v>
      </c>
      <c r="E15" t="s">
        <v>13</v>
      </c>
      <c r="F15">
        <v>18</v>
      </c>
      <c r="G15" t="s">
        <v>13</v>
      </c>
      <c r="H15">
        <v>18.399999999999999</v>
      </c>
      <c r="I15" t="s">
        <v>13</v>
      </c>
      <c r="J15">
        <v>18.899999999999999</v>
      </c>
      <c r="K15" t="s">
        <v>13</v>
      </c>
      <c r="L15">
        <v>18.7</v>
      </c>
      <c r="M15" t="s">
        <v>13</v>
      </c>
      <c r="N15">
        <v>19</v>
      </c>
      <c r="O15" t="s">
        <v>13</v>
      </c>
      <c r="P15">
        <v>18.399999999999999</v>
      </c>
      <c r="Q15" t="s">
        <v>13</v>
      </c>
      <c r="R15">
        <v>17.7</v>
      </c>
      <c r="S15" t="s">
        <v>13</v>
      </c>
      <c r="T15">
        <v>18</v>
      </c>
      <c r="U15" t="s">
        <v>13</v>
      </c>
      <c r="V15">
        <v>18.600000000000001</v>
      </c>
      <c r="W15" t="s">
        <v>13</v>
      </c>
      <c r="X15">
        <v>18.7</v>
      </c>
      <c r="Y15" t="s">
        <v>13</v>
      </c>
      <c r="Z15">
        <v>18</v>
      </c>
      <c r="AA15" t="s">
        <v>13</v>
      </c>
      <c r="AB15">
        <v>18.100000000000001</v>
      </c>
      <c r="AC15" t="s">
        <v>13</v>
      </c>
      <c r="AD15">
        <v>18.7</v>
      </c>
      <c r="AE15" t="s">
        <v>13</v>
      </c>
      <c r="AF15">
        <v>18.3</v>
      </c>
      <c r="AG15" t="s">
        <v>13</v>
      </c>
      <c r="AH15">
        <v>18.2</v>
      </c>
      <c r="AI15" t="s">
        <v>13</v>
      </c>
      <c r="AJ15">
        <v>18.100000000000001</v>
      </c>
      <c r="AK15" t="s">
        <v>13</v>
      </c>
      <c r="AL15">
        <v>18.3</v>
      </c>
      <c r="AO15" t="s">
        <v>13</v>
      </c>
      <c r="AP15">
        <f t="shared" si="21"/>
        <v>0</v>
      </c>
      <c r="AQ15">
        <f t="shared" si="20"/>
        <v>0.56179775280897681</v>
      </c>
      <c r="AR15">
        <f t="shared" si="2"/>
        <v>1.1235955056179736</v>
      </c>
      <c r="AS15">
        <f t="shared" si="3"/>
        <v>3.3707865168539208</v>
      </c>
      <c r="AT15">
        <f t="shared" si="4"/>
        <v>6.1797752808988644</v>
      </c>
      <c r="AU15">
        <f t="shared" si="5"/>
        <v>5.0561797752808904</v>
      </c>
      <c r="AV15">
        <f t="shared" si="6"/>
        <v>6.7415730337078612</v>
      </c>
      <c r="AW15">
        <f t="shared" si="7"/>
        <v>3.3707865168539208</v>
      </c>
      <c r="AX15">
        <f t="shared" si="8"/>
        <v>-0.56179775280899669</v>
      </c>
      <c r="AY15">
        <f t="shared" si="9"/>
        <v>1.1235955056179736</v>
      </c>
      <c r="AZ15">
        <f t="shared" si="10"/>
        <v>4.494382022471914</v>
      </c>
      <c r="BA15">
        <f t="shared" si="11"/>
        <v>5.0561797752808904</v>
      </c>
      <c r="BB15">
        <f t="shared" si="12"/>
        <v>1.1235955056179736</v>
      </c>
      <c r="BC15">
        <f t="shared" si="13"/>
        <v>1.68539325842697</v>
      </c>
      <c r="BD15">
        <f t="shared" si="14"/>
        <v>5.0561797752808904</v>
      </c>
      <c r="BE15">
        <f t="shared" si="15"/>
        <v>2.8089887640449436</v>
      </c>
      <c r="BF15">
        <f t="shared" si="16"/>
        <v>2.2471910112359472</v>
      </c>
      <c r="BG15">
        <f t="shared" si="17"/>
        <v>1.68539325842697</v>
      </c>
      <c r="BH15">
        <f t="shared" si="18"/>
        <v>2.8089887640449436</v>
      </c>
    </row>
    <row r="16" spans="1:60" x14ac:dyDescent="0.25">
      <c r="A16" t="s">
        <v>14</v>
      </c>
      <c r="B16">
        <v>18.899999999999999</v>
      </c>
      <c r="C16" t="s">
        <v>14</v>
      </c>
      <c r="D16">
        <v>19</v>
      </c>
      <c r="E16" t="s">
        <v>14</v>
      </c>
      <c r="F16">
        <v>19.7</v>
      </c>
      <c r="G16" t="s">
        <v>14</v>
      </c>
      <c r="H16">
        <v>19.2</v>
      </c>
      <c r="I16" t="s">
        <v>14</v>
      </c>
      <c r="J16">
        <v>20.100000000000001</v>
      </c>
      <c r="K16" t="s">
        <v>14</v>
      </c>
      <c r="L16">
        <v>20.6</v>
      </c>
      <c r="M16" t="s">
        <v>14</v>
      </c>
      <c r="N16">
        <v>20.100000000000001</v>
      </c>
      <c r="O16" t="s">
        <v>14</v>
      </c>
      <c r="P16">
        <v>19.600000000000001</v>
      </c>
      <c r="Q16" t="s">
        <v>14</v>
      </c>
      <c r="R16">
        <v>18.8</v>
      </c>
      <c r="S16" t="s">
        <v>14</v>
      </c>
      <c r="T16">
        <v>18.7</v>
      </c>
      <c r="U16" t="s">
        <v>14</v>
      </c>
      <c r="V16">
        <v>19.399999999999999</v>
      </c>
      <c r="W16" t="s">
        <v>14</v>
      </c>
      <c r="X16">
        <v>19.5</v>
      </c>
      <c r="Y16" t="s">
        <v>14</v>
      </c>
      <c r="Z16">
        <v>19</v>
      </c>
      <c r="AA16" t="s">
        <v>14</v>
      </c>
      <c r="AB16">
        <v>18.7</v>
      </c>
      <c r="AC16" t="s">
        <v>14</v>
      </c>
      <c r="AD16">
        <v>19.7</v>
      </c>
      <c r="AE16" t="s">
        <v>14</v>
      </c>
      <c r="AF16">
        <v>19.3</v>
      </c>
      <c r="AG16" t="s">
        <v>14</v>
      </c>
      <c r="AH16">
        <v>19.600000000000001</v>
      </c>
      <c r="AI16" t="s">
        <v>14</v>
      </c>
      <c r="AJ16">
        <v>19</v>
      </c>
      <c r="AK16" t="s">
        <v>14</v>
      </c>
      <c r="AL16">
        <v>19.399999999999999</v>
      </c>
      <c r="AO16" t="s">
        <v>14</v>
      </c>
      <c r="AP16">
        <f t="shared" si="21"/>
        <v>0</v>
      </c>
      <c r="AQ16">
        <f t="shared" si="20"/>
        <v>0.52910052910053662</v>
      </c>
      <c r="AR16">
        <f t="shared" si="2"/>
        <v>4.232804232804237</v>
      </c>
      <c r="AS16">
        <f t="shared" si="3"/>
        <v>1.587301587301591</v>
      </c>
      <c r="AT16">
        <f t="shared" si="4"/>
        <v>6.349206349206364</v>
      </c>
      <c r="AU16">
        <f t="shared" si="5"/>
        <v>8.9947089947090113</v>
      </c>
      <c r="AV16">
        <f t="shared" si="6"/>
        <v>6.349206349206364</v>
      </c>
      <c r="AW16">
        <f t="shared" si="7"/>
        <v>3.7037037037037188</v>
      </c>
      <c r="AX16">
        <f t="shared" si="8"/>
        <v>-0.52910052910051786</v>
      </c>
      <c r="AY16">
        <f t="shared" si="9"/>
        <v>-1.0582010582010546</v>
      </c>
      <c r="AZ16">
        <f t="shared" si="10"/>
        <v>2.6455026455026456</v>
      </c>
      <c r="BA16">
        <f t="shared" si="11"/>
        <v>3.174603174603182</v>
      </c>
      <c r="BB16">
        <f t="shared" si="12"/>
        <v>0.52910052910053662</v>
      </c>
      <c r="BC16">
        <f t="shared" si="13"/>
        <v>-1.0582010582010546</v>
      </c>
      <c r="BD16">
        <f t="shared" si="14"/>
        <v>4.232804232804237</v>
      </c>
      <c r="BE16">
        <f t="shared" si="15"/>
        <v>2.1164021164021278</v>
      </c>
      <c r="BF16">
        <f t="shared" si="16"/>
        <v>3.7037037037037188</v>
      </c>
      <c r="BG16">
        <f t="shared" si="17"/>
        <v>0.52910052910053662</v>
      </c>
      <c r="BH16">
        <f t="shared" si="18"/>
        <v>2.6455026455026456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99EEE-AB7A-4E07-AE04-F6DCFC6EFD42}">
  <dimension ref="A1:N11"/>
  <sheetViews>
    <sheetView workbookViewId="0">
      <selection activeCell="D20" sqref="D20"/>
    </sheetView>
  </sheetViews>
  <sheetFormatPr defaultRowHeight="15" x14ac:dyDescent="0.25"/>
  <cols>
    <col min="1" max="1" width="11.28515625" customWidth="1"/>
    <col min="2" max="2" width="19.7109375" customWidth="1"/>
    <col min="3" max="4" width="21.28515625" customWidth="1"/>
    <col min="6" max="6" width="13.28515625" customWidth="1"/>
    <col min="8" max="8" width="15.140625" customWidth="1"/>
    <col min="10" max="10" width="15" customWidth="1"/>
    <col min="12" max="12" width="12.28515625" customWidth="1"/>
    <col min="14" max="14" width="16.42578125" customWidth="1"/>
  </cols>
  <sheetData>
    <row r="1" spans="1:14" ht="15.75" thickBot="1" x14ac:dyDescent="0.3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</row>
    <row r="2" spans="1:14" x14ac:dyDescent="0.25">
      <c r="A2" s="6" t="s">
        <v>29</v>
      </c>
      <c r="B2" s="6" t="s">
        <v>9</v>
      </c>
      <c r="C2" s="6" t="s">
        <v>30</v>
      </c>
      <c r="D2" s="6">
        <v>17.600000000000001</v>
      </c>
      <c r="E2" s="6">
        <v>2.4575999999999998</v>
      </c>
      <c r="F2" s="6">
        <f>(E2/D2)*100</f>
        <v>13.963636363636361</v>
      </c>
      <c r="G2" s="6">
        <v>0.10639999999999999</v>
      </c>
      <c r="H2" s="6">
        <f>(G2/D2)*100</f>
        <v>0.6045454545454545</v>
      </c>
      <c r="I2" s="6">
        <v>1.0301</v>
      </c>
      <c r="J2" s="6">
        <f>(I2/D2)*100</f>
        <v>5.8528409090909088</v>
      </c>
      <c r="K2" s="6">
        <v>0.14560000000000001</v>
      </c>
      <c r="L2" s="6">
        <f>(K2/D2)*100</f>
        <v>0.82727272727272716</v>
      </c>
      <c r="M2" s="6">
        <v>0.19370000000000001</v>
      </c>
      <c r="N2" s="6">
        <f>(M2/D2)*100</f>
        <v>1.1005681818181818</v>
      </c>
    </row>
    <row r="3" spans="1:14" x14ac:dyDescent="0.25">
      <c r="A3" s="7" t="s">
        <v>31</v>
      </c>
      <c r="B3" s="7" t="s">
        <v>10</v>
      </c>
      <c r="C3" s="7" t="s">
        <v>30</v>
      </c>
      <c r="D3" s="7">
        <v>16.600000000000001</v>
      </c>
      <c r="E3" s="7">
        <v>1.7749999999999999</v>
      </c>
      <c r="F3" s="6">
        <f t="shared" ref="F3:F11" si="0">(E3/D3)*100</f>
        <v>10.692771084337348</v>
      </c>
      <c r="G3" s="7">
        <v>0.1101</v>
      </c>
      <c r="H3" s="6">
        <f t="shared" ref="H3:H11" si="1">(G3/D3)*100</f>
        <v>0.66325301204819276</v>
      </c>
      <c r="I3" s="7">
        <v>0.90129999999999999</v>
      </c>
      <c r="J3" s="6">
        <f t="shared" ref="J3:J11" si="2">(I3/D3)*100</f>
        <v>5.4295180722891558</v>
      </c>
      <c r="K3" s="7">
        <v>0.187</v>
      </c>
      <c r="L3" s="6">
        <f t="shared" ref="L3:L11" si="3">(K3/D3)*100</f>
        <v>1.1265060240963856</v>
      </c>
      <c r="M3" s="7">
        <v>0.191</v>
      </c>
      <c r="N3" s="6">
        <f t="shared" ref="N3:N11" si="4">(M3/D3)*100</f>
        <v>1.1506024096385543</v>
      </c>
    </row>
    <row r="4" spans="1:14" x14ac:dyDescent="0.25">
      <c r="A4" s="7" t="s">
        <v>32</v>
      </c>
      <c r="B4" s="7" t="s">
        <v>11</v>
      </c>
      <c r="C4" s="7" t="s">
        <v>30</v>
      </c>
      <c r="D4" s="7">
        <v>18.399999999999999</v>
      </c>
      <c r="E4" s="7">
        <v>2.2526999999999999</v>
      </c>
      <c r="F4" s="6">
        <f t="shared" si="0"/>
        <v>12.242934782608696</v>
      </c>
      <c r="G4" s="7">
        <v>9.3799999999999994E-2</v>
      </c>
      <c r="H4" s="6">
        <f t="shared" si="1"/>
        <v>0.50978260869565217</v>
      </c>
      <c r="I4" s="7">
        <v>0.78839999999999999</v>
      </c>
      <c r="J4" s="6">
        <f t="shared" si="2"/>
        <v>4.284782608695652</v>
      </c>
      <c r="K4" s="7">
        <v>0.15890000000000001</v>
      </c>
      <c r="L4" s="6">
        <f t="shared" si="3"/>
        <v>0.86358695652173934</v>
      </c>
      <c r="M4" s="7">
        <v>7.4899999999999994E-2</v>
      </c>
      <c r="N4" s="6">
        <f t="shared" si="4"/>
        <v>0.40706521739130436</v>
      </c>
    </row>
    <row r="5" spans="1:14" x14ac:dyDescent="0.25">
      <c r="A5" s="7" t="s">
        <v>33</v>
      </c>
      <c r="B5" s="7" t="s">
        <v>12</v>
      </c>
      <c r="C5" s="7" t="s">
        <v>30</v>
      </c>
      <c r="D5" s="7">
        <v>18.600000000000001</v>
      </c>
      <c r="E5" s="7">
        <v>2.4660000000000002</v>
      </c>
      <c r="F5" s="6">
        <f t="shared" si="0"/>
        <v>13.258064516129032</v>
      </c>
      <c r="G5" s="7">
        <v>0.1205</v>
      </c>
      <c r="H5" s="6">
        <f t="shared" si="1"/>
        <v>0.64784946236559127</v>
      </c>
      <c r="I5" s="7">
        <v>1.1051</v>
      </c>
      <c r="J5" s="6">
        <f t="shared" si="2"/>
        <v>5.9413978494623647</v>
      </c>
      <c r="K5" s="7">
        <v>0.193</v>
      </c>
      <c r="L5" s="6">
        <f t="shared" si="3"/>
        <v>1.0376344086021505</v>
      </c>
      <c r="M5" s="7">
        <v>0.19109999999999999</v>
      </c>
      <c r="N5" s="6">
        <f t="shared" si="4"/>
        <v>1.0274193548387096</v>
      </c>
    </row>
    <row r="6" spans="1:14" x14ac:dyDescent="0.25">
      <c r="A6" s="7" t="s">
        <v>34</v>
      </c>
      <c r="B6" s="7" t="s">
        <v>35</v>
      </c>
      <c r="C6" s="7" t="s">
        <v>30</v>
      </c>
      <c r="D6" s="7">
        <v>19.3</v>
      </c>
      <c r="E6" s="7">
        <v>2.5181</v>
      </c>
      <c r="F6" s="6">
        <f t="shared" si="0"/>
        <v>13.047150259067358</v>
      </c>
      <c r="G6" s="7">
        <v>0.1042</v>
      </c>
      <c r="H6" s="6">
        <f t="shared" si="1"/>
        <v>0.53989637305699478</v>
      </c>
      <c r="I6" s="7">
        <v>1.0780000000000001</v>
      </c>
      <c r="J6" s="6">
        <f t="shared" si="2"/>
        <v>5.5854922279792749</v>
      </c>
      <c r="K6" s="7">
        <v>0.16700000000000001</v>
      </c>
      <c r="L6" s="6">
        <f t="shared" si="3"/>
        <v>0.86528497409326421</v>
      </c>
      <c r="M6" s="7">
        <v>0.184</v>
      </c>
      <c r="N6" s="6">
        <f t="shared" si="4"/>
        <v>0.95336787564766834</v>
      </c>
    </row>
    <row r="7" spans="1:14" x14ac:dyDescent="0.25">
      <c r="A7" s="7" t="s">
        <v>36</v>
      </c>
      <c r="B7" s="7" t="s">
        <v>1</v>
      </c>
      <c r="C7" s="7" t="s">
        <v>0</v>
      </c>
      <c r="D7" s="7">
        <v>19.600000000000001</v>
      </c>
      <c r="E7" s="7">
        <v>1.9345000000000001</v>
      </c>
      <c r="F7" s="6">
        <f t="shared" si="0"/>
        <v>9.8698979591836746</v>
      </c>
      <c r="G7" s="7">
        <v>0.1255</v>
      </c>
      <c r="H7" s="6">
        <f t="shared" si="1"/>
        <v>0.64030612244897955</v>
      </c>
      <c r="I7" s="7">
        <v>0.92989999999999995</v>
      </c>
      <c r="J7" s="6">
        <f t="shared" si="2"/>
        <v>4.7443877551020401</v>
      </c>
      <c r="K7" s="7">
        <v>0.22320000000000001</v>
      </c>
      <c r="L7" s="6">
        <f t="shared" si="3"/>
        <v>1.1387755102040815</v>
      </c>
      <c r="M7" s="7">
        <v>0.1172</v>
      </c>
      <c r="N7" s="6">
        <f t="shared" si="4"/>
        <v>0.59795918367346934</v>
      </c>
    </row>
    <row r="8" spans="1:14" x14ac:dyDescent="0.25">
      <c r="A8" s="7" t="s">
        <v>37</v>
      </c>
      <c r="B8" s="7" t="s">
        <v>2</v>
      </c>
      <c r="C8" s="7" t="s">
        <v>0</v>
      </c>
      <c r="D8" s="7">
        <v>21</v>
      </c>
      <c r="E8" s="7">
        <v>2.0047000000000001</v>
      </c>
      <c r="F8" s="6">
        <f t="shared" si="0"/>
        <v>9.5461904761904783</v>
      </c>
      <c r="G8" s="7">
        <v>0.12540000000000001</v>
      </c>
      <c r="H8" s="6">
        <f t="shared" si="1"/>
        <v>0.5971428571428572</v>
      </c>
      <c r="I8" s="7">
        <v>0.81759999999999999</v>
      </c>
      <c r="J8" s="6">
        <f t="shared" si="2"/>
        <v>3.8933333333333335</v>
      </c>
      <c r="K8" s="7">
        <v>0.16089999999999999</v>
      </c>
      <c r="L8" s="6">
        <f t="shared" si="3"/>
        <v>0.76619047619047609</v>
      </c>
      <c r="M8" s="7">
        <v>0.14050000000000001</v>
      </c>
      <c r="N8" s="6">
        <f t="shared" si="4"/>
        <v>0.66904761904761911</v>
      </c>
    </row>
    <row r="9" spans="1:14" x14ac:dyDescent="0.25">
      <c r="A9" s="7" t="s">
        <v>38</v>
      </c>
      <c r="B9" s="7" t="s">
        <v>3</v>
      </c>
      <c r="C9" s="7" t="s">
        <v>0</v>
      </c>
      <c r="D9" s="7">
        <v>20.2</v>
      </c>
      <c r="E9" s="7">
        <v>2.1934999999999998</v>
      </c>
      <c r="F9" s="6">
        <f t="shared" si="0"/>
        <v>10.858910891089108</v>
      </c>
      <c r="G9" s="7">
        <v>0.12889999999999999</v>
      </c>
      <c r="H9" s="6">
        <f t="shared" si="1"/>
        <v>0.63811881188118813</v>
      </c>
      <c r="I9" s="7">
        <v>0.78879999999999995</v>
      </c>
      <c r="J9" s="6">
        <f t="shared" si="2"/>
        <v>3.9049504950495049</v>
      </c>
      <c r="K9" s="7">
        <v>0.1681</v>
      </c>
      <c r="L9" s="6">
        <f t="shared" si="3"/>
        <v>0.83217821782178225</v>
      </c>
      <c r="M9" s="7">
        <v>0.11609999999999999</v>
      </c>
      <c r="N9" s="6">
        <f t="shared" si="4"/>
        <v>0.57475247524752471</v>
      </c>
    </row>
    <row r="10" spans="1:14" x14ac:dyDescent="0.25">
      <c r="A10" s="7" t="s">
        <v>39</v>
      </c>
      <c r="B10" s="7" t="s">
        <v>4</v>
      </c>
      <c r="C10" s="7" t="s">
        <v>0</v>
      </c>
      <c r="D10" s="7">
        <v>20.100000000000001</v>
      </c>
      <c r="E10" s="7">
        <v>2.0630000000000002</v>
      </c>
      <c r="F10" s="6">
        <f t="shared" si="0"/>
        <v>10.263681592039802</v>
      </c>
      <c r="G10" s="7">
        <v>0.11700000000000001</v>
      </c>
      <c r="H10" s="6">
        <f t="shared" si="1"/>
        <v>0.58208955223880599</v>
      </c>
      <c r="I10" s="7">
        <v>0.89049999999999996</v>
      </c>
      <c r="J10" s="6">
        <f t="shared" si="2"/>
        <v>4.4303482587064673</v>
      </c>
      <c r="K10" s="7">
        <v>0.13339999999999999</v>
      </c>
      <c r="L10" s="6">
        <f t="shared" si="3"/>
        <v>0.66368159203980093</v>
      </c>
      <c r="M10" s="7">
        <v>0.1507</v>
      </c>
      <c r="N10" s="6">
        <f t="shared" si="4"/>
        <v>0.74975124378109448</v>
      </c>
    </row>
    <row r="11" spans="1:14" x14ac:dyDescent="0.25">
      <c r="A11" s="7" t="s">
        <v>40</v>
      </c>
      <c r="B11" s="7" t="s">
        <v>41</v>
      </c>
      <c r="C11" s="7" t="s">
        <v>0</v>
      </c>
      <c r="D11" s="7">
        <v>20.8</v>
      </c>
      <c r="E11" s="7">
        <v>2.0011999999999999</v>
      </c>
      <c r="F11" s="6">
        <f t="shared" si="0"/>
        <v>9.6211538461538453</v>
      </c>
      <c r="G11" s="7">
        <v>0.106</v>
      </c>
      <c r="H11" s="6">
        <f t="shared" si="1"/>
        <v>0.50961538461538458</v>
      </c>
      <c r="I11" s="7">
        <v>0.69779999999999998</v>
      </c>
      <c r="J11" s="6">
        <f t="shared" si="2"/>
        <v>3.3548076923076922</v>
      </c>
      <c r="K11" s="7">
        <v>0.2031</v>
      </c>
      <c r="L11" s="7">
        <f t="shared" si="3"/>
        <v>0.97644230769230766</v>
      </c>
      <c r="M11" s="7">
        <v>9.8299999999999998E-2</v>
      </c>
      <c r="N11" s="6">
        <f t="shared" si="4"/>
        <v>0.47259615384615383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% change body weights</vt:lpstr>
      <vt:lpstr>Organ 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Mace, Thomas</dc:creator>
  <cp:lastModifiedBy>Mace, Thomas</cp:lastModifiedBy>
  <dcterms:created xsi:type="dcterms:W3CDTF">2024-07-02T14:32:51Z</dcterms:created>
  <dcterms:modified xsi:type="dcterms:W3CDTF">2024-07-02T14:48:19Z</dcterms:modified>
</cp:coreProperties>
</file>